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ega\Dropbox\R\GlobiPhageHostRange\"/>
    </mc:Choice>
  </mc:AlternateContent>
  <xr:revisionPtr revIDLastSave="0" documentId="13_ncr:1_{97C904B4-55A9-4941-B29D-B82A036DF16A}" xr6:coauthVersionLast="47" xr6:coauthVersionMax="47" xr10:uidLastSave="{00000000-0000-0000-0000-000000000000}"/>
  <bookViews>
    <workbookView xWindow="675" yWindow="1275" windowWidth="19605" windowHeight="14055" xr2:uid="{C2F28AC2-050D-4FD9-8381-19547E50E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 s="1"/>
  <c r="I20" i="1"/>
  <c r="J19" i="1"/>
  <c r="K19" i="1" s="1"/>
  <c r="I19" i="1"/>
  <c r="J18" i="1"/>
  <c r="I18" i="1"/>
  <c r="K18" i="1" s="1"/>
  <c r="I17" i="1" l="1"/>
  <c r="J17" i="1" s="1"/>
  <c r="K17" i="1" s="1"/>
  <c r="I16" i="1"/>
  <c r="I15" i="1"/>
  <c r="I14" i="1"/>
  <c r="J13" i="1"/>
  <c r="K13" i="1" s="1"/>
  <c r="J12" i="1"/>
  <c r="K12" i="1" s="1"/>
  <c r="J11" i="1"/>
  <c r="J10" i="1"/>
  <c r="K10" i="1" s="1"/>
  <c r="J9" i="1"/>
  <c r="K11" i="1"/>
  <c r="K9" i="1"/>
  <c r="J6" i="1"/>
  <c r="K6" i="1" s="1"/>
  <c r="J2" i="1"/>
  <c r="K2" i="1" s="1"/>
  <c r="I2" i="1"/>
  <c r="I5" i="1"/>
  <c r="I6" i="1"/>
  <c r="I13" i="1"/>
  <c r="I12" i="1"/>
  <c r="I11" i="1"/>
  <c r="I10" i="1"/>
  <c r="I9" i="1"/>
  <c r="I8" i="1"/>
  <c r="J8" i="1" s="1"/>
  <c r="K8" i="1" s="1"/>
  <c r="I7" i="1"/>
  <c r="J7" i="1" s="1"/>
  <c r="K7" i="1" s="1"/>
  <c r="I4" i="1"/>
  <c r="I3" i="1"/>
  <c r="J3" i="1" l="1"/>
  <c r="K3" i="1" s="1"/>
  <c r="J15" i="1"/>
  <c r="K15" i="1" s="1"/>
  <c r="J14" i="1"/>
  <c r="J4" i="1"/>
  <c r="K4" i="1" s="1"/>
  <c r="J5" i="1"/>
  <c r="K5" i="1" s="1"/>
  <c r="J16" i="1"/>
  <c r="K16" i="1" s="1"/>
  <c r="K14" i="1"/>
</calcChain>
</file>

<file path=xl/sharedStrings.xml><?xml version="1.0" encoding="utf-8"?>
<sst xmlns="http://schemas.openxmlformats.org/spreadsheetml/2006/main" count="87" uniqueCount="25">
  <si>
    <t>Count</t>
  </si>
  <si>
    <t>Dilution</t>
  </si>
  <si>
    <t>VolumePlated</t>
  </si>
  <si>
    <t>PFU_mL</t>
  </si>
  <si>
    <t>B1814</t>
  </si>
  <si>
    <t>Bacteria</t>
  </si>
  <si>
    <t>Phage</t>
  </si>
  <si>
    <t>TrixiePhattel</t>
  </si>
  <si>
    <t>BactSpecies</t>
  </si>
  <si>
    <t>Anandi</t>
  </si>
  <si>
    <t>B2880</t>
  </si>
  <si>
    <t>B24025</t>
  </si>
  <si>
    <t>oryzae</t>
  </si>
  <si>
    <t>B24478</t>
  </si>
  <si>
    <t>B24479</t>
  </si>
  <si>
    <t>B2979</t>
  </si>
  <si>
    <t>EOP</t>
  </si>
  <si>
    <t>logEOP</t>
  </si>
  <si>
    <t>Rep</t>
  </si>
  <si>
    <t>TargetHost</t>
  </si>
  <si>
    <t>N</t>
  </si>
  <si>
    <t>Y</t>
  </si>
  <si>
    <r>
      <t>pascens</t>
    </r>
    <r>
      <rPr>
        <sz val="11"/>
        <rFont val="Aptos Narrow"/>
        <family val="2"/>
        <scheme val="minor"/>
      </rPr>
      <t>​</t>
    </r>
  </si>
  <si>
    <t>globiformis</t>
  </si>
  <si>
    <r>
      <t>humicola</t>
    </r>
    <r>
      <rPr>
        <sz val="11"/>
        <rFont val="Aptos Narrow"/>
        <family val="2"/>
        <scheme val="minor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</si>
</sst>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3" fillId="0" borderId="0" xfId="0" applyFont="1" applyBorder="1"/>
    <xf numFmtId="0" fontId="4" fillId="0" borderId="0" xfId="0" applyFont="1" applyBorder="1"/>
    <xf numFmtId="11" fontId="0" fillId="0" borderId="0" xfId="0" applyNumberFormat="1" applyFont="1" applyBorder="1"/>
    <xf numFmtId="0" fontId="0" fillId="0" borderId="0" xfId="0" applyFont="1" applyFill="1" applyBorder="1"/>
    <xf numFmtId="11" fontId="0" fillId="0" borderId="0" xfId="0" applyNumberFormat="1" applyFont="1"/>
    <xf numFmtId="0" fontId="0" fillId="0" borderId="0" xfId="0" applyFont="1"/>
    <xf numFmtId="0" fontId="4" fillId="0" borderId="0" xfId="0" applyFont="1"/>
    <xf numFmtId="1" fontId="0" fillId="0" borderId="0" xfId="0" applyNumberFormat="1" applyFont="1"/>
    <xf numFmtId="0" fontId="5" fillId="0" borderId="0" xfId="0" applyFont="1"/>
    <xf numFmtId="0" fontId="1" fillId="0" borderId="0" xfId="0" applyFont="1" applyFill="1" applyBorder="1"/>
    <xf numFmtId="2" fontId="0" fillId="0" borderId="0" xfId="0" applyNumberFormat="1" applyFont="1" applyBorder="1"/>
    <xf numFmtId="11" fontId="0" fillId="0" borderId="0" xfId="0" applyNumberFormat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1A44-CD1C-490F-8879-1CA7309FF93B}">
  <dimension ref="A1:L29"/>
  <sheetViews>
    <sheetView tabSelected="1" workbookViewId="0">
      <selection activeCell="C13" sqref="C13"/>
    </sheetView>
  </sheetViews>
  <sheetFormatPr defaultRowHeight="15" x14ac:dyDescent="0.25"/>
  <cols>
    <col min="1" max="1" width="9.140625" style="3"/>
    <col min="2" max="2" width="13.85546875" style="3" customWidth="1"/>
    <col min="3" max="3" width="29.28515625" style="3" customWidth="1"/>
    <col min="4" max="7" width="9.140625" style="3"/>
    <col min="8" max="8" width="13.7109375" style="3" bestFit="1" customWidth="1"/>
    <col min="9" max="16384" width="9.140625" style="3"/>
  </cols>
  <sheetData>
    <row r="1" spans="1:12" x14ac:dyDescent="0.25">
      <c r="A1" s="1" t="s">
        <v>18</v>
      </c>
      <c r="B1" s="1" t="s">
        <v>6</v>
      </c>
      <c r="C1" s="2" t="s">
        <v>8</v>
      </c>
      <c r="D1" s="2" t="s">
        <v>5</v>
      </c>
      <c r="E1" s="2" t="s">
        <v>19</v>
      </c>
      <c r="F1" s="1" t="s">
        <v>0</v>
      </c>
      <c r="G1" s="1" t="s">
        <v>1</v>
      </c>
      <c r="H1" s="1" t="s">
        <v>2</v>
      </c>
      <c r="I1" s="1" t="s">
        <v>3</v>
      </c>
      <c r="J1" s="13" t="s">
        <v>16</v>
      </c>
      <c r="K1" s="13" t="s">
        <v>17</v>
      </c>
    </row>
    <row r="2" spans="1:12" x14ac:dyDescent="0.25">
      <c r="A2" s="3">
        <v>1</v>
      </c>
      <c r="B2" s="3" t="s">
        <v>7</v>
      </c>
      <c r="C2" s="4" t="s">
        <v>22</v>
      </c>
      <c r="D2" s="5" t="s">
        <v>4</v>
      </c>
      <c r="E2" s="5" t="s">
        <v>20</v>
      </c>
      <c r="F2">
        <v>0</v>
      </c>
      <c r="G2">
        <v>0</v>
      </c>
      <c r="H2">
        <v>3</v>
      </c>
      <c r="I2" s="8">
        <f t="shared" ref="I2" si="0">(1000/H2)*F2*10^G2</f>
        <v>0</v>
      </c>
      <c r="J2" s="3">
        <f>IF(F2=0, 0, I2/I$7)</f>
        <v>0</v>
      </c>
      <c r="K2" s="14">
        <f>IF(J2=0, -8,LOG10(J2))</f>
        <v>-8</v>
      </c>
    </row>
    <row r="3" spans="1:12" x14ac:dyDescent="0.25">
      <c r="A3" s="3">
        <v>1</v>
      </c>
      <c r="B3" s="3" t="s">
        <v>7</v>
      </c>
      <c r="C3" s="4" t="s">
        <v>23</v>
      </c>
      <c r="D3" s="5" t="s">
        <v>10</v>
      </c>
      <c r="E3" s="5" t="s">
        <v>20</v>
      </c>
      <c r="F3">
        <v>15</v>
      </c>
      <c r="G3">
        <v>4</v>
      </c>
      <c r="H3">
        <v>3</v>
      </c>
      <c r="I3" s="6">
        <f>IF(F3&gt;0, F3*(1000/H3)*10^G3, "")</f>
        <v>50000000</v>
      </c>
      <c r="J3" s="3">
        <f t="shared" ref="J3:J7" si="1">IF(F3=0, 0, I3/I$7)</f>
        <v>0.15000000000000002</v>
      </c>
      <c r="K3" s="14">
        <f t="shared" ref="K3:K17" si="2">IF(J3=0, -8,LOG10(J3))</f>
        <v>-0.82390874094431865</v>
      </c>
    </row>
    <row r="4" spans="1:12" x14ac:dyDescent="0.25">
      <c r="A4" s="3">
        <v>1</v>
      </c>
      <c r="B4" s="3" t="s">
        <v>7</v>
      </c>
      <c r="C4" s="4" t="s">
        <v>23</v>
      </c>
      <c r="D4" s="5" t="s">
        <v>11</v>
      </c>
      <c r="E4" s="5" t="s">
        <v>20</v>
      </c>
      <c r="F4">
        <v>3</v>
      </c>
      <c r="G4">
        <v>5</v>
      </c>
      <c r="H4">
        <v>3</v>
      </c>
      <c r="I4" s="6">
        <f t="shared" ref="I4" si="3">IF(F4&gt;0, F4*(1000/H4)*10^G4, "")</f>
        <v>100000000</v>
      </c>
      <c r="J4" s="3">
        <f t="shared" si="1"/>
        <v>0.30000000000000004</v>
      </c>
      <c r="K4" s="14">
        <f t="shared" si="2"/>
        <v>-0.52287874528033751</v>
      </c>
    </row>
    <row r="5" spans="1:12" x14ac:dyDescent="0.25">
      <c r="A5" s="7">
        <v>1</v>
      </c>
      <c r="B5" s="3" t="s">
        <v>7</v>
      </c>
      <c r="C5" s="12" t="s">
        <v>12</v>
      </c>
      <c r="D5" s="5" t="s">
        <v>13</v>
      </c>
      <c r="E5" s="5" t="s">
        <v>20</v>
      </c>
      <c r="F5">
        <v>26</v>
      </c>
      <c r="G5">
        <v>4</v>
      </c>
      <c r="H5">
        <v>3</v>
      </c>
      <c r="I5" s="8">
        <f t="shared" ref="I5:I13" si="4">(1000/H5)*F5*10^G5</f>
        <v>86666666.666666657</v>
      </c>
      <c r="J5" s="3">
        <f t="shared" si="1"/>
        <v>0.26</v>
      </c>
      <c r="K5" s="14">
        <f t="shared" si="2"/>
        <v>-0.58502665202918203</v>
      </c>
    </row>
    <row r="6" spans="1:12" x14ac:dyDescent="0.25">
      <c r="A6" s="7">
        <v>1</v>
      </c>
      <c r="B6" s="3" t="s">
        <v>7</v>
      </c>
      <c r="C6" s="4" t="s">
        <v>24</v>
      </c>
      <c r="D6" s="5" t="s">
        <v>14</v>
      </c>
      <c r="E6" s="5" t="s">
        <v>20</v>
      </c>
      <c r="F6">
        <v>0</v>
      </c>
      <c r="G6">
        <v>2</v>
      </c>
      <c r="H6">
        <v>3</v>
      </c>
      <c r="I6" s="8">
        <f t="shared" si="4"/>
        <v>0</v>
      </c>
      <c r="J6" s="3">
        <f t="shared" si="1"/>
        <v>0</v>
      </c>
      <c r="K6" s="14">
        <f t="shared" si="2"/>
        <v>-8</v>
      </c>
    </row>
    <row r="7" spans="1:12" x14ac:dyDescent="0.25">
      <c r="A7" s="7">
        <v>1</v>
      </c>
      <c r="B7" s="3" t="s">
        <v>7</v>
      </c>
      <c r="C7" s="4" t="s">
        <v>23</v>
      </c>
      <c r="D7" s="5" t="s">
        <v>15</v>
      </c>
      <c r="E7" s="5" t="s">
        <v>21</v>
      </c>
      <c r="F7">
        <v>10</v>
      </c>
      <c r="G7">
        <v>5</v>
      </c>
      <c r="H7">
        <v>3</v>
      </c>
      <c r="I7" s="6">
        <f>IF(F7&gt;0, F7*(1000/H7)*10^G7, "")</f>
        <v>333333333.33333331</v>
      </c>
      <c r="J7" s="3">
        <f t="shared" si="1"/>
        <v>1</v>
      </c>
      <c r="K7" s="14">
        <f t="shared" si="2"/>
        <v>0</v>
      </c>
    </row>
    <row r="8" spans="1:12" x14ac:dyDescent="0.25">
      <c r="A8" s="7">
        <v>1</v>
      </c>
      <c r="B8" s="9" t="s">
        <v>9</v>
      </c>
      <c r="C8" s="4" t="s">
        <v>22</v>
      </c>
      <c r="D8" s="9" t="s">
        <v>4</v>
      </c>
      <c r="E8" s="5" t="s">
        <v>21</v>
      </c>
      <c r="F8" s="9">
        <v>11</v>
      </c>
      <c r="G8" s="9">
        <v>6</v>
      </c>
      <c r="H8" s="9">
        <v>3</v>
      </c>
      <c r="I8" s="8">
        <f t="shared" si="4"/>
        <v>3666666666.6666665</v>
      </c>
      <c r="J8" s="7">
        <f>IF(F8=0, 0, I8/I$8)</f>
        <v>1</v>
      </c>
      <c r="K8" s="14">
        <f t="shared" si="2"/>
        <v>0</v>
      </c>
    </row>
    <row r="9" spans="1:12" x14ac:dyDescent="0.25">
      <c r="A9" s="7">
        <v>1</v>
      </c>
      <c r="B9" s="9" t="s">
        <v>9</v>
      </c>
      <c r="C9" s="4" t="s">
        <v>23</v>
      </c>
      <c r="D9" s="10" t="s">
        <v>10</v>
      </c>
      <c r="E9" s="10" t="s">
        <v>20</v>
      </c>
      <c r="F9" s="11">
        <v>0</v>
      </c>
      <c r="G9" s="11">
        <v>1</v>
      </c>
      <c r="H9" s="9">
        <v>3</v>
      </c>
      <c r="I9" s="8">
        <f t="shared" si="4"/>
        <v>0</v>
      </c>
      <c r="J9" s="7">
        <f t="shared" ref="J9:J13" si="5">IF(F9=0, 0, I9/I$8)</f>
        <v>0</v>
      </c>
      <c r="K9" s="14">
        <f t="shared" si="2"/>
        <v>-8</v>
      </c>
    </row>
    <row r="10" spans="1:12" x14ac:dyDescent="0.25">
      <c r="A10" s="7">
        <v>1</v>
      </c>
      <c r="B10" s="9" t="s">
        <v>9</v>
      </c>
      <c r="C10" s="4" t="s">
        <v>23</v>
      </c>
      <c r="D10" s="10" t="s">
        <v>11</v>
      </c>
      <c r="E10" s="10" t="s">
        <v>20</v>
      </c>
      <c r="F10" s="11">
        <v>0</v>
      </c>
      <c r="G10" s="11">
        <v>1</v>
      </c>
      <c r="H10" s="9">
        <v>3</v>
      </c>
      <c r="I10" s="8">
        <f t="shared" si="4"/>
        <v>0</v>
      </c>
      <c r="J10" s="7">
        <f t="shared" si="5"/>
        <v>0</v>
      </c>
      <c r="K10" s="14">
        <f t="shared" si="2"/>
        <v>-8</v>
      </c>
    </row>
    <row r="11" spans="1:12" x14ac:dyDescent="0.25">
      <c r="A11" s="7">
        <v>1</v>
      </c>
      <c r="B11" s="9" t="s">
        <v>9</v>
      </c>
      <c r="C11" s="12" t="s">
        <v>12</v>
      </c>
      <c r="D11" s="10" t="s">
        <v>13</v>
      </c>
      <c r="E11" s="10" t="s">
        <v>20</v>
      </c>
      <c r="F11" s="11">
        <v>0</v>
      </c>
      <c r="G11" s="11">
        <v>1</v>
      </c>
      <c r="H11" s="9">
        <v>3</v>
      </c>
      <c r="I11" s="8">
        <f t="shared" si="4"/>
        <v>0</v>
      </c>
      <c r="J11" s="7">
        <f t="shared" si="5"/>
        <v>0</v>
      </c>
      <c r="K11" s="14">
        <f t="shared" si="2"/>
        <v>-8</v>
      </c>
    </row>
    <row r="12" spans="1:12" x14ac:dyDescent="0.25">
      <c r="A12" s="7">
        <v>1</v>
      </c>
      <c r="B12" s="9" t="s">
        <v>9</v>
      </c>
      <c r="C12" s="4" t="s">
        <v>24</v>
      </c>
      <c r="D12" s="10" t="s">
        <v>14</v>
      </c>
      <c r="E12" s="10" t="s">
        <v>20</v>
      </c>
      <c r="F12" s="11">
        <v>0</v>
      </c>
      <c r="G12" s="11">
        <v>1</v>
      </c>
      <c r="H12" s="9">
        <v>3</v>
      </c>
      <c r="I12" s="8">
        <f t="shared" si="4"/>
        <v>0</v>
      </c>
      <c r="J12" s="7">
        <f t="shared" si="5"/>
        <v>0</v>
      </c>
      <c r="K12" s="14">
        <f t="shared" si="2"/>
        <v>-8</v>
      </c>
    </row>
    <row r="13" spans="1:12" x14ac:dyDescent="0.25">
      <c r="A13" s="7">
        <v>1</v>
      </c>
      <c r="B13" s="9" t="s">
        <v>9</v>
      </c>
      <c r="C13" s="4" t="s">
        <v>23</v>
      </c>
      <c r="D13" s="10" t="s">
        <v>15</v>
      </c>
      <c r="E13" s="10" t="s">
        <v>20</v>
      </c>
      <c r="F13" s="11">
        <v>0</v>
      </c>
      <c r="G13" s="11">
        <v>1</v>
      </c>
      <c r="H13" s="9">
        <v>3</v>
      </c>
      <c r="I13" s="8">
        <f t="shared" si="4"/>
        <v>0</v>
      </c>
      <c r="J13" s="7">
        <f t="shared" si="5"/>
        <v>0</v>
      </c>
      <c r="K13" s="14">
        <f t="shared" si="2"/>
        <v>-8</v>
      </c>
    </row>
    <row r="14" spans="1:12" x14ac:dyDescent="0.25">
      <c r="A14">
        <v>2</v>
      </c>
      <c r="B14" t="s">
        <v>7</v>
      </c>
      <c r="C14" s="4" t="s">
        <v>23</v>
      </c>
      <c r="D14" t="s">
        <v>10</v>
      </c>
      <c r="E14" s="10" t="s">
        <v>20</v>
      </c>
      <c r="F14">
        <v>9</v>
      </c>
      <c r="G14">
        <v>7</v>
      </c>
      <c r="H14">
        <v>3</v>
      </c>
      <c r="I14" s="8">
        <f t="shared" ref="I14" si="6">(1000/H14)*F14*10^G14</f>
        <v>30000000000</v>
      </c>
      <c r="J14" s="16">
        <f>IF(F14=0, 0, I14/I$17)</f>
        <v>0.375</v>
      </c>
      <c r="K14" s="14">
        <f t="shared" si="2"/>
        <v>-0.42596873227228116</v>
      </c>
    </row>
    <row r="15" spans="1:12" x14ac:dyDescent="0.25">
      <c r="A15">
        <v>2</v>
      </c>
      <c r="B15" t="s">
        <v>7</v>
      </c>
      <c r="C15" s="4" t="s">
        <v>23</v>
      </c>
      <c r="D15" t="s">
        <v>11</v>
      </c>
      <c r="E15" s="10" t="s">
        <v>20</v>
      </c>
      <c r="F15">
        <v>11</v>
      </c>
      <c r="G15">
        <v>7</v>
      </c>
      <c r="H15">
        <v>3</v>
      </c>
      <c r="I15" s="8">
        <f t="shared" ref="I15:I18" si="7">(1000/H15)*F15*10^G15</f>
        <v>36666666666.666664</v>
      </c>
      <c r="J15" s="16">
        <f t="shared" ref="J15:J17" si="8">IF(F15=0, 0, I15/I$17)</f>
        <v>0.45833333333333331</v>
      </c>
      <c r="K15" s="14">
        <f t="shared" si="2"/>
        <v>-0.338818556553381</v>
      </c>
      <c r="L15"/>
    </row>
    <row r="16" spans="1:12" x14ac:dyDescent="0.25">
      <c r="A16">
        <v>2</v>
      </c>
      <c r="B16" t="s">
        <v>7</v>
      </c>
      <c r="C16" s="12" t="s">
        <v>12</v>
      </c>
      <c r="D16" t="s">
        <v>13</v>
      </c>
      <c r="E16" s="10" t="s">
        <v>20</v>
      </c>
      <c r="F16">
        <v>26</v>
      </c>
      <c r="G16">
        <v>6</v>
      </c>
      <c r="H16">
        <v>3</v>
      </c>
      <c r="I16" s="8">
        <f t="shared" si="7"/>
        <v>8666666666.666666</v>
      </c>
      <c r="J16" s="16">
        <f t="shared" si="8"/>
        <v>0.10833333333333332</v>
      </c>
      <c r="K16" s="14">
        <f t="shared" si="2"/>
        <v>-0.96523789374078806</v>
      </c>
      <c r="L16"/>
    </row>
    <row r="17" spans="1:12" x14ac:dyDescent="0.25">
      <c r="A17">
        <v>2</v>
      </c>
      <c r="B17" t="s">
        <v>7</v>
      </c>
      <c r="C17" s="4" t="s">
        <v>23</v>
      </c>
      <c r="D17" t="s">
        <v>15</v>
      </c>
      <c r="E17" s="10" t="s">
        <v>21</v>
      </c>
      <c r="F17">
        <v>24</v>
      </c>
      <c r="G17">
        <v>7</v>
      </c>
      <c r="H17">
        <v>3</v>
      </c>
      <c r="I17" s="8">
        <f t="shared" si="7"/>
        <v>80000000000</v>
      </c>
      <c r="J17" s="16">
        <f t="shared" si="8"/>
        <v>1</v>
      </c>
      <c r="K17" s="14">
        <f t="shared" si="2"/>
        <v>0</v>
      </c>
      <c r="L17"/>
    </row>
    <row r="18" spans="1:12" x14ac:dyDescent="0.25">
      <c r="A18" s="3">
        <v>2</v>
      </c>
      <c r="B18" s="9" t="s">
        <v>9</v>
      </c>
      <c r="C18" s="4" t="s">
        <v>22</v>
      </c>
      <c r="D18" s="9" t="s">
        <v>4</v>
      </c>
      <c r="E18" s="5" t="s">
        <v>21</v>
      </c>
      <c r="F18" s="9">
        <v>3</v>
      </c>
      <c r="G18" s="9">
        <v>5</v>
      </c>
      <c r="H18" s="9">
        <v>3</v>
      </c>
      <c r="I18" s="8">
        <f t="shared" si="7"/>
        <v>100000000</v>
      </c>
      <c r="J18" s="16">
        <f>IF(F18=0, 0, I18/I$18)</f>
        <v>1</v>
      </c>
      <c r="K18" s="14">
        <f t="shared" ref="K18" si="9">IF(J18=0, -8,LOG10(J18))</f>
        <v>0</v>
      </c>
      <c r="L18"/>
    </row>
    <row r="19" spans="1:12" x14ac:dyDescent="0.25">
      <c r="A19" s="7">
        <v>2</v>
      </c>
      <c r="B19" s="9" t="s">
        <v>9</v>
      </c>
      <c r="C19" s="12" t="s">
        <v>12</v>
      </c>
      <c r="D19" s="10" t="s">
        <v>13</v>
      </c>
      <c r="E19" s="10" t="s">
        <v>20</v>
      </c>
      <c r="F19" s="9">
        <v>0</v>
      </c>
      <c r="G19" s="9">
        <v>1</v>
      </c>
      <c r="H19" s="9">
        <v>3</v>
      </c>
      <c r="I19" s="8">
        <f t="shared" ref="I19:I20" si="10">(1000/H19)*F19*10^G19</f>
        <v>0</v>
      </c>
      <c r="J19" s="16">
        <f>IF(F19=0, 0, I19/I$18)</f>
        <v>0</v>
      </c>
      <c r="K19" s="14">
        <f t="shared" ref="K19:K20" si="11">IF(J19=0, -8,LOG10(J19))</f>
        <v>-8</v>
      </c>
      <c r="L19"/>
    </row>
    <row r="20" spans="1:12" x14ac:dyDescent="0.25">
      <c r="A20" s="7">
        <v>2</v>
      </c>
      <c r="B20" s="9" t="s">
        <v>9</v>
      </c>
      <c r="C20" s="4" t="s">
        <v>24</v>
      </c>
      <c r="D20" s="10" t="s">
        <v>14</v>
      </c>
      <c r="E20" s="10" t="s">
        <v>20</v>
      </c>
      <c r="F20" s="9">
        <v>0</v>
      </c>
      <c r="G20" s="9">
        <v>1</v>
      </c>
      <c r="H20" s="9">
        <v>3</v>
      </c>
      <c r="I20" s="8">
        <f t="shared" si="10"/>
        <v>0</v>
      </c>
      <c r="J20" s="16">
        <f>IF(F20=0, 0, I20/I$18)</f>
        <v>0</v>
      </c>
      <c r="K20" s="14">
        <f t="shared" si="11"/>
        <v>-8</v>
      </c>
      <c r="L20"/>
    </row>
    <row r="21" spans="1:12" x14ac:dyDescent="0.25">
      <c r="B21"/>
      <c r="C21"/>
      <c r="D21"/>
      <c r="E21"/>
      <c r="F21"/>
      <c r="G21"/>
      <c r="H21"/>
      <c r="I21"/>
      <c r="J21"/>
      <c r="K21" s="15"/>
      <c r="L21"/>
    </row>
    <row r="26" spans="1:12" x14ac:dyDescent="0.25">
      <c r="D26"/>
      <c r="E26"/>
    </row>
    <row r="27" spans="1:12" x14ac:dyDescent="0.25">
      <c r="D27"/>
      <c r="E27"/>
    </row>
    <row r="28" spans="1:12" x14ac:dyDescent="0.25">
      <c r="D28"/>
      <c r="E28"/>
    </row>
    <row r="29" spans="1:12" x14ac:dyDescent="0.25">
      <c r="D29"/>
      <c r="E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</dc:creator>
  <cp:lastModifiedBy>NV</cp:lastModifiedBy>
  <dcterms:created xsi:type="dcterms:W3CDTF">2026-08-03T14:54:27Z</dcterms:created>
  <dcterms:modified xsi:type="dcterms:W3CDTF">2026-08-04T19:57:07Z</dcterms:modified>
</cp:coreProperties>
</file>